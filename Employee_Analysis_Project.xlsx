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9991317831eb48/文档/"/>
    </mc:Choice>
  </mc:AlternateContent>
  <xr:revisionPtr revIDLastSave="0" documentId="8_{36C19946-0570-46AF-85F9-BACCB92722B8}" xr6:coauthVersionLast="47" xr6:coauthVersionMax="47" xr10:uidLastSave="{00000000-0000-0000-0000-000000000000}"/>
  <bookViews>
    <workbookView xWindow="-108" yWindow="-108" windowWidth="23256" windowHeight="13896" xr2:uid="{FF729C58-2A19-420E-A399-921849E45660}"/>
  </bookViews>
  <sheets>
    <sheet name="Sheet1" sheetId="1" r:id="rId1"/>
    <sheet name="Dashboard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7" i="1"/>
  <c r="J9" i="1"/>
  <c r="J5" i="1"/>
  <c r="F5" i="2"/>
  <c r="G5" i="2"/>
  <c r="G7" i="2"/>
  <c r="G6" i="2"/>
  <c r="F7" i="2"/>
  <c r="F6" i="2"/>
  <c r="J6" i="1"/>
</calcChain>
</file>

<file path=xl/sharedStrings.xml><?xml version="1.0" encoding="utf-8"?>
<sst xmlns="http://schemas.openxmlformats.org/spreadsheetml/2006/main" count="25" uniqueCount="20">
  <si>
    <t>Emp ID</t>
  </si>
  <si>
    <t>Name</t>
  </si>
  <si>
    <t>Department</t>
  </si>
  <si>
    <t>Salary</t>
  </si>
  <si>
    <t>Experience</t>
  </si>
  <si>
    <t>Amit</t>
  </si>
  <si>
    <t>HR</t>
  </si>
  <si>
    <t>Neha</t>
  </si>
  <si>
    <t>IT</t>
  </si>
  <si>
    <t>Raj</t>
  </si>
  <si>
    <t>Finance</t>
  </si>
  <si>
    <t>Simran</t>
  </si>
  <si>
    <t>Karan</t>
  </si>
  <si>
    <t>Employee_Data fetching</t>
  </si>
  <si>
    <t>Search Emp  ID</t>
  </si>
  <si>
    <t>Result</t>
  </si>
  <si>
    <t>Total Employees</t>
  </si>
  <si>
    <t>Avg Salary</t>
  </si>
  <si>
    <t>Dashboard_Data</t>
  </si>
  <si>
    <t>Department,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</si>
</sst>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Per</a:t>
            </a:r>
            <a:r>
              <a:rPr lang="en-US" baseline="0"/>
              <a:t>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Dashboard_Data!$F$4</c:f>
              <c:strCache>
                <c:ptCount val="1"/>
                <c:pt idx="0">
                  <c:v>Total 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Dashboard_Data!$E$5:$E$7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Finance</c:v>
                </c:pt>
              </c:strCache>
            </c:strRef>
          </c:cat>
          <c:val>
            <c:numRef>
              <c:f>Dashboard_Data!$F$5:$F$7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7-4D09-B58E-CB8F8A26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1826447"/>
        <c:axId val="1181826927"/>
      </c:barChart>
      <c:catAx>
        <c:axId val="1181826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26927"/>
        <c:crosses val="autoZero"/>
        <c:auto val="1"/>
        <c:lblAlgn val="ctr"/>
        <c:lblOffset val="100"/>
        <c:noMultiLvlLbl val="0"/>
      </c:catAx>
      <c:valAx>
        <c:axId val="118182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2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Dashboard_Data!$G$4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Dashboard_Data!$E$5:$E$7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Finance</c:v>
                </c:pt>
              </c:strCache>
            </c:strRef>
          </c:cat>
          <c:val>
            <c:numRef>
              <c:f>Dashboard_Data!$G$5:$G$7</c:f>
              <c:numCache>
                <c:formatCode>General</c:formatCode>
                <c:ptCount val="3"/>
                <c:pt idx="0">
                  <c:v>27500</c:v>
                </c:pt>
                <c:pt idx="1">
                  <c:v>42500</c:v>
                </c:pt>
                <c:pt idx="2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C-4458-94CE-EC744B609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851407"/>
        <c:axId val="11099285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Dashboard_Data!$F$4</c15:sqref>
                        </c15:formulaRef>
                      </c:ext>
                    </c:extLst>
                    <c:strCache>
                      <c:ptCount val="1"/>
                      <c:pt idx="0">
                        <c:v>Total Employees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Dashboard_Data!$E$5:$E$7</c15:sqref>
                        </c15:formulaRef>
                      </c:ext>
                    </c:extLst>
                    <c:strCache>
                      <c:ptCount val="3"/>
                      <c:pt idx="0">
                        <c:v>HR</c:v>
                      </c:pt>
                      <c:pt idx="1">
                        <c:v>IT</c:v>
                      </c:pt>
                      <c:pt idx="2">
                        <c:v>Finance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Dashboard_Data!$F$5:$F$7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</c:v>
                      </c:pt>
                      <c:pt idx="1">
                        <c:v>2</c:v>
                      </c:pt>
                      <c:pt idx="2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42C-4458-94CE-EC744B60925C}"/>
                  </c:ext>
                </c:extLst>
              </c15:ser>
            </c15:filteredBarSeries>
          </c:ext>
        </c:extLst>
      </c:barChart>
      <c:catAx>
        <c:axId val="118185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28591"/>
        <c:crosses val="autoZero"/>
        <c:auto val="1"/>
        <c:lblAlgn val="ctr"/>
        <c:lblOffset val="100"/>
        <c:noMultiLvlLbl val="0"/>
      </c:catAx>
      <c:valAx>
        <c:axId val="110992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5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Dashboard_Data!$F$4</c:f>
              <c:strCache>
                <c:ptCount val="1"/>
                <c:pt idx="0">
                  <c:v>Total 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03-4329-A669-741B34946F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03-4329-A669-741B34946F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03-4329-A669-741B34946F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Dashboard_Data!$E$5:$E$7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Finance</c:v>
                </c:pt>
              </c:strCache>
            </c:strRef>
          </c:cat>
          <c:val>
            <c:numRef>
              <c:f>Dashboard_Data!$F$5:$F$7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F-4A04-A51A-26DF63D7A4C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8</xdr:row>
      <xdr:rowOff>22860</xdr:rowOff>
    </xdr:from>
    <xdr:to>
      <xdr:col>7</xdr:col>
      <xdr:colOff>601980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3FD157-492B-8C74-CAD5-3EE111CEE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297180</xdr:colOff>
      <xdr:row>0</xdr:row>
      <xdr:rowOff>41910</xdr:rowOff>
    </xdr:from>
    <xdr:to>
      <xdr:col>14</xdr:col>
      <xdr:colOff>388620</xdr:colOff>
      <xdr:row>9</xdr:row>
      <xdr:rowOff>160020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0F6811-D403-D937-10E6-73A64C251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30480</xdr:colOff>
      <xdr:row>11</xdr:row>
      <xdr:rowOff>11430</xdr:rowOff>
    </xdr:from>
    <xdr:to>
      <xdr:col>13</xdr:col>
      <xdr:colOff>129540</xdr:colOff>
      <xdr:row>20</xdr:row>
      <xdr:rowOff>160020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D8FBB7-F5CB-28C4-3A3C-6706BE445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2D50A-0197-4378-B112-EB2D7C289E62}" name="Table1" displayName="Table1" ref="C4:G9" totalsRowShown="0" headerRowDxfId="17" dataDxfId="15" headerRowBorderDxfId="16" tableBorderDxfId="14" totalsRowBorderDxfId="13">
  <autoFilter ref="C4:G9" xr:uid="{4862D50A-0197-4378-B112-EB2D7C289E62}"/>
  <tableColumns count="5">
    <tableColumn id="1" xr3:uid="{97BE66E9-99E6-4D40-B574-5B3AA5AD4DB9}" name="Emp ID" dataDxfId="12"/>
    <tableColumn id="2" xr3:uid="{F92B1D52-EF55-4E82-BEA5-B90AE552C12E}" name="Name" dataDxfId="11"/>
    <tableColumn id="3" xr3:uid="{083B6BDC-D2DF-4AEE-8A3D-A09CDCC2FBF6}" name="Department" dataDxfId="10"/>
    <tableColumn id="4" xr3:uid="{D2F53621-5A16-4E3C-AEA8-A8D77AB5CD3F}" name="Salary" dataDxfId="9"/>
    <tableColumn id="5" xr3:uid="{74402FC3-D87E-42FE-8C54-C2AADAFF3FA3}" name="Experienc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E2A10C-5F42-4FF7-ABF2-BDC3C0E5D157}" name="Table3" displayName="Table3" ref="I4:J9" totalsRowShown="0">
  <autoFilter ref="I4:J9" xr:uid="{16E2A10C-5F42-4FF7-ABF2-BDC3C0E5D157}"/>
  <tableColumns count="2">
    <tableColumn id="1" xr3:uid="{3D8631CF-7FB7-4301-B6A5-575D107D6496}" name="Search Emp  ID"/>
    <tableColumn id="2" xr3:uid="{B2BB67C2-FA6E-4DAB-98F3-9A198708677E}" name="Result" dataDxfId="7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D23682-2A23-4FA1-BD5B-8707206FCF26}" name="Table4" displayName="Table4" ref="E4:G7" totalsRowShown="0" headerRowDxfId="6" headerRowBorderDxfId="5" tableBorderDxfId="4" totalsRowBorderDxfId="3">
  <autoFilter ref="E4:G7" xr:uid="{02D23682-2A23-4FA1-BD5B-8707206FCF26}"/>
  <tableColumns count="3">
    <tableColumn id="1" xr3:uid="{8B495CD5-D109-4083-9389-D7F049665329}" name="Department," dataDxfId="2"/>
    <tableColumn id="2" xr3:uid="{5BE6671D-EDCF-403F-AECA-10FFEB30CE9C}" name="Total Employees" dataDxfId="1"/>
    <tableColumn id="3" xr3:uid="{63FEA528-B1F9-4843-85CA-F3D666281E8F}" name="Avg 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40D3-1910-41A3-92E7-F774749AF1A8}">
  <dimension ref="C1:M9"/>
  <sheetViews>
    <sheetView tabSelected="1" workbookViewId="0">
      <selection activeCell="J5" sqref="J5"/>
    </sheetView>
  </sheetViews>
  <sheetFormatPr defaultRowHeight="14.4" x14ac:dyDescent="0.3"/>
  <cols>
    <col min="5" max="5" width="12.88671875" customWidth="1"/>
    <col min="7" max="7" width="12.109375" customWidth="1"/>
    <col min="9" max="9" width="15.21875" customWidth="1"/>
    <col min="10" max="10" width="10.6640625" bestFit="1" customWidth="1"/>
  </cols>
  <sheetData>
    <row r="1" spans="3:13" x14ac:dyDescent="0.3">
      <c r="C1" s="13" t="s">
        <v>13</v>
      </c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3:13" x14ac:dyDescent="0.3"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3:13" x14ac:dyDescent="0.3">
      <c r="C4" s="4" t="s">
        <v>0</v>
      </c>
      <c r="D4" s="5" t="s">
        <v>1</v>
      </c>
      <c r="E4" s="5" t="s">
        <v>2</v>
      </c>
      <c r="F4" s="5" t="s">
        <v>3</v>
      </c>
      <c r="G4" s="6" t="s">
        <v>4</v>
      </c>
      <c r="I4" s="10" t="s">
        <v>14</v>
      </c>
      <c r="J4" s="11" t="s">
        <v>15</v>
      </c>
    </row>
    <row r="5" spans="3:13" x14ac:dyDescent="0.3">
      <c r="C5" s="2">
        <v>101</v>
      </c>
      <c r="D5" s="1" t="s">
        <v>5</v>
      </c>
      <c r="E5" s="1" t="s">
        <v>6</v>
      </c>
      <c r="F5" s="1">
        <v>25000</v>
      </c>
      <c r="G5" s="3">
        <v>2</v>
      </c>
      <c r="I5">
        <v>101</v>
      </c>
      <c r="J5" s="11" t="str">
        <f>VLOOKUP(Table1[[#This Row],[Emp ID]],Table1[],2,FALSE)</f>
        <v>Amit</v>
      </c>
    </row>
    <row r="6" spans="3:13" x14ac:dyDescent="0.3">
      <c r="C6" s="2">
        <v>102</v>
      </c>
      <c r="D6" s="1" t="s">
        <v>7</v>
      </c>
      <c r="E6" s="1" t="s">
        <v>8</v>
      </c>
      <c r="F6" s="1">
        <v>40000</v>
      </c>
      <c r="G6" s="3">
        <v>4</v>
      </c>
      <c r="I6">
        <v>102</v>
      </c>
      <c r="J6" s="11" t="str">
        <f>VLOOKUP(Table1[[#This Row],[Emp ID]],Table1[],3,FALSE)</f>
        <v>IT</v>
      </c>
    </row>
    <row r="7" spans="3:13" x14ac:dyDescent="0.3">
      <c r="C7" s="2">
        <v>103</v>
      </c>
      <c r="D7" s="1" t="s">
        <v>9</v>
      </c>
      <c r="E7" s="1" t="s">
        <v>10</v>
      </c>
      <c r="F7" s="1">
        <v>35000</v>
      </c>
      <c r="G7" s="3">
        <v>3</v>
      </c>
      <c r="I7">
        <v>103</v>
      </c>
      <c r="J7" s="11">
        <f>_xlfn.XLOOKUP(Table1[[#This Row],[Emp ID]],Table1[Emp ID],Table1[Salary],"not  match",0)</f>
        <v>35000</v>
      </c>
    </row>
    <row r="8" spans="3:13" x14ac:dyDescent="0.3">
      <c r="C8" s="2">
        <v>104</v>
      </c>
      <c r="D8" s="1" t="s">
        <v>11</v>
      </c>
      <c r="E8" s="1" t="s">
        <v>8</v>
      </c>
      <c r="F8" s="1">
        <v>45000</v>
      </c>
      <c r="G8" s="3">
        <v>5</v>
      </c>
      <c r="I8">
        <v>104</v>
      </c>
      <c r="J8" s="11">
        <f>INDEX(Table1[Experience],MATCH(Table1[[#This Row],[Emp ID]],Table1[Emp ID],0))</f>
        <v>5</v>
      </c>
    </row>
    <row r="9" spans="3:13" x14ac:dyDescent="0.3">
      <c r="C9" s="7">
        <v>105</v>
      </c>
      <c r="D9" s="8" t="s">
        <v>12</v>
      </c>
      <c r="E9" s="8" t="s">
        <v>6</v>
      </c>
      <c r="F9" s="8">
        <v>30000</v>
      </c>
      <c r="G9" s="9">
        <v>2</v>
      </c>
      <c r="I9">
        <v>105</v>
      </c>
      <c r="J9" s="11" t="str">
        <f>IFERROR(_xlfn.XLOOKUP(Table1[[#This Row],[Emp ID]],Table1[Emp ID],Table1[Department],"not found",0),"not found")</f>
        <v>HR</v>
      </c>
    </row>
  </sheetData>
  <mergeCells count="1">
    <mergeCell ref="C1:M2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BE62-1265-43BF-A93C-067AEE7586A5}">
  <dimension ref="C1:H7"/>
  <sheetViews>
    <sheetView workbookViewId="0">
      <selection activeCell="B32" sqref="B32"/>
    </sheetView>
  </sheetViews>
  <sheetFormatPr defaultRowHeight="14.4" x14ac:dyDescent="0.3"/>
  <cols>
    <col min="5" max="5" width="15.88671875" customWidth="1"/>
    <col min="6" max="6" width="16.44140625" customWidth="1"/>
    <col min="7" max="7" width="13.109375" customWidth="1"/>
  </cols>
  <sheetData>
    <row r="1" spans="3:8" ht="14.4" customHeight="1" x14ac:dyDescent="0.3">
      <c r="C1" s="12"/>
      <c r="D1" s="12"/>
      <c r="E1" s="14" t="s">
        <v>18</v>
      </c>
      <c r="F1" s="15"/>
      <c r="G1" s="16"/>
      <c r="H1" s="12"/>
    </row>
    <row r="2" spans="3:8" ht="14.4" customHeight="1" x14ac:dyDescent="0.3">
      <c r="C2" s="12"/>
      <c r="D2" s="12"/>
      <c r="E2" s="17"/>
      <c r="F2" s="18"/>
      <c r="G2" s="19"/>
      <c r="H2" s="12"/>
    </row>
    <row r="4" spans="3:8" ht="28.8" x14ac:dyDescent="0.3">
      <c r="E4" s="4" t="s">
        <v>19</v>
      </c>
      <c r="F4" s="5" t="s">
        <v>16</v>
      </c>
      <c r="G4" s="6" t="s">
        <v>17</v>
      </c>
    </row>
    <row r="5" spans="3:8" x14ac:dyDescent="0.3">
      <c r="E5" s="2" t="s">
        <v>6</v>
      </c>
      <c r="F5" s="1">
        <f>COUNTIF(Sheet1!E5:E9,"HR")</f>
        <v>2</v>
      </c>
      <c r="G5" s="3">
        <f>AVERAGEIF(Sheet1!E5:E9,"HR",Sheet1!F5:F9)</f>
        <v>27500</v>
      </c>
    </row>
    <row r="6" spans="3:8" x14ac:dyDescent="0.3">
      <c r="E6" s="2" t="s">
        <v>8</v>
      </c>
      <c r="F6" s="1">
        <f>COUNTIF(Sheet1!E5:E9,"IT")</f>
        <v>2</v>
      </c>
      <c r="G6" s="3">
        <f>AVERAGEIF(Sheet1!E5:E9,"IT",Sheet1!F5:F9)</f>
        <v>42500</v>
      </c>
    </row>
    <row r="7" spans="3:8" x14ac:dyDescent="0.3">
      <c r="E7" s="7" t="s">
        <v>10</v>
      </c>
      <c r="F7" s="8">
        <f>COUNTIF(Sheet1!E5:E9,"Finance")</f>
        <v>1</v>
      </c>
      <c r="G7" s="9">
        <f>AVERAGEIF(Sheet1!E5:E9,"Finance",Sheet1!F5:F9)</f>
        <v>35000</v>
      </c>
    </row>
  </sheetData>
  <mergeCells count="1">
    <mergeCell ref="E1:G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251F4C-4A66-4118-8C4C-74224FFB06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abhighagare150@gmail.com</dc:creator>
  <cp:lastModifiedBy>abhighagare150@gmail.com</cp:lastModifiedBy>
  <dcterms:created xsi:type="dcterms:W3CDTF">2026-05-03T08:21:28Z</dcterms:created>
  <dcterms:modified xsi:type="dcterms:W3CDTF">2026-05-03T10:57:28Z</dcterms:modified>
</cp:coreProperties>
</file>